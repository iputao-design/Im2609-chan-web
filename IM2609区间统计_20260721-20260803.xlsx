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28dc67bb0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间统计" sheetId="1" r:id="Rb2f939bf2440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%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36516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73A63"/>
      <x:name val="Carlito"/>
    </x:font>
    <x:font>
      <x:b/>
      <x:sz val="11"/>
      <x:color rgb="FF36516F"/>
      <x:name val="Carlito"/>
    </x:font>
    <x:font>
      <x:b/>
      <x:sz val="11"/>
      <x:color rgb="FF0F2747"/>
      <x:name val="Carlito"/>
    </x:font>
    <x:font>
      <x:sz val="11"/>
      <x:color rgb="FF4B55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8F0FA"/>
      </x:patternFill>
    </x:fill>
    <x:fill>
      <x:patternFill patternType="solid">
        <x:fgColor rgb="FF1D4E89"/>
      </x:patternFill>
    </x:fill>
    <x:fill>
      <x:patternFill patternType="solid">
        <x:fgColor rgb="FFDDEBFA"/>
      </x:patternFill>
    </x:fill>
    <x:fill>
      <x:patternFill patternType="solid">
        <x:fgColor rgb="FFF7FAFD"/>
      </x:patternFill>
    </x:fill>
  </x:fills>
  <x:borders count="7">
    <x:border/>
    <x:border>
      <x:left style="thin">
        <x:color rgb="FF143A67"/>
      </x:left>
      <x:top style="thin">
        <x:color rgb="FF143A67"/>
      </x:top>
      <x:bottom style="thin">
        <x:color rgb="FF143A67"/>
      </x:bottom>
    </x:border>
    <x:border>
      <x:top style="thin">
        <x:color rgb="FF143A67"/>
      </x:top>
      <x:bottom style="thin">
        <x:color rgb="FF143A67"/>
      </x:bottom>
    </x:border>
    <x:border>
      <x:right style="thin">
        <x:color rgb="FF143A67"/>
      </x:right>
      <x:top style="thin">
        <x:color rgb="FF143A67"/>
      </x:top>
      <x:bottom style="thin">
        <x:color rgb="FF143A67"/>
      </x:bottom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top style="thin">
        <x:color rgb="FFE3E8EF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200" fontId="7" fillId="6" borderId="4" xfId="0" applyNumberFormat="1" applyFont="1" applyFill="1" applyBorder="1"/>
    <x:xf numFmtId="200" fontId="7" fillId="6" borderId="5" xfId="0" applyNumberFormat="1" applyFont="1" applyFill="1" applyBorder="1"/>
    <x:xf numFmtId="200" fontId="7" fillId="6" borderId="6" xfId="0" applyNumberFormat="1" applyFont="1" applyFill="1" applyBorder="1"/>
    <x:xf numFmtId="200" fontId="7" fillId="6" borderId="4" xfId="0" applyNumberFormat="1" applyFont="1" applyFill="1" applyBorder="1" applyAlignment="1">
      <x:alignment horizontal="right"/>
    </x:xf>
    <x:xf numFmtId="200" fontId="7" fillId="6" borderId="5" xfId="0" applyNumberFormat="1" applyFont="1" applyFill="1" applyBorder="1" applyAlignment="1">
      <x:alignment horizontal="right"/>
    </x:xf>
    <x:xf numFmtId="200" fontId="7" fillId="6" borderId="6" xfId="0" applyNumberFormat="1" applyFont="1" applyFill="1" applyBorder="1" applyAlignment="1">
      <x:alignment horizontal="right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77245"/>
      </x:font>
      <x:fill>
        <x:patternFill patternType="solid">
          <x:bgColor rgb="FFE6F6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7854f34934f5e" /><Relationship Type="http://schemas.openxmlformats.org/officeDocument/2006/relationships/theme" Target="/xl/theme/theme1.xml" Id="Rc47053288fb54656" /><Relationship Type="http://schemas.openxmlformats.org/officeDocument/2006/relationships/sharedStrings" Target="/xl/sharedStrings.xml" Id="Recd0862031254e03" /><Relationship Type="http://schemas.openxmlformats.org/officeDocument/2006/relationships/worksheet" Target="/xl/worksheets/sheet1.xml" Id="Rb2f939bf244046b9" /></Relationships>
</file>

<file path=xl/tables/table1.xml><?xml version="1.0" encoding="utf-8"?>
<x:table xmlns:x="http://schemas.openxmlformats.org/spreadsheetml/2006/main" id="1" name="IM2609Intervals" displayName="IM2609Intervals" ref="A4:M19" headerRowCount="1" totalsRowCount="0" totalsRowShown="0">
  <x:tableColumns count="13">
    <x:tableColumn id="1" name="序号"/>
    <x:tableColumn id="2" name="起始时间"/>
    <x:tableColumn id="3" name="结束时间"/>
    <x:tableColumn id="4" name="周期"/>
    <x:tableColumn id="5" name="方向"/>
    <x:tableColumn id="6" name="前收盘"/>
    <x:tableColumn id="7" name="最高"/>
    <x:tableColumn id="8" name="最低"/>
    <x:tableColumn id="9" name="收盘"/>
    <x:tableColumn id="10" name="涨跌点"/>
    <x:tableColumn id="11" name="涨跌幅"/>
    <x:tableColumn id="12" name="振幅"/>
    <x:tableColumn id="13" name="走势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ca999a5c3c41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0" hidden="0" customWidth="1"/>
    <x:col min="4" max="4" width="8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31" hidden="0" customWidth="1"/>
  </x:cols>
  <x:sheetData>
    <x:row r="1" ht="34" customHeight="1">
      <x:c r="A1" s="4" t="str">
        <x:v>IM2609 区间统计（2026-07-21 至 2026-08-03）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8" t="str">
        <x:v>按时间顺序整理 · 方向依据原截图走势判断 · 空白收盘价表示原图信息不完整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30" customHeight="1">
      <x:c r="A4" s="20" t="str">
        <x:v>序号</x:v>
      </x:c>
      <x:c r="B4" s="21" t="str">
        <x:v>起始时间</x:v>
      </x:c>
      <x:c r="C4" s="21" t="str">
        <x:v>结束时间</x:v>
      </x:c>
      <x:c r="D4" s="21" t="str">
        <x:v>周期</x:v>
      </x:c>
      <x:c r="E4" s="21" t="str">
        <x:v>方向</x:v>
      </x:c>
      <x:c r="F4" s="21" t="str">
        <x:v>前收盘</x:v>
      </x:c>
      <x:c r="G4" s="21" t="str">
        <x:v>最高</x:v>
      </x:c>
      <x:c r="H4" s="21" t="str">
        <x:v>最低</x:v>
      </x:c>
      <x:c r="I4" s="21" t="str">
        <x:v>收盘</x:v>
      </x:c>
      <x:c r="J4" s="21" t="str">
        <x:v>涨跌点</x:v>
      </x:c>
      <x:c r="K4" s="21" t="str">
        <x:v>涨跌幅</x:v>
      </x:c>
      <x:c r="L4" s="21" t="str">
        <x:v>振幅</x:v>
      </x:c>
      <x:c r="M4" s="22" t="str">
        <x:v>走势说明</x:v>
      </x:c>
    </x:row>
    <x:row r="5" ht="24" customHeight="1">
      <x:c r="A5" s="30" t="n">
        <x:v>1</x:v>
      </x:c>
      <x:c r="B5" s="27" t="str">
        <x:v>2026-07-21 13:10</x:v>
      </x:c>
      <x:c r="C5" s="27" t="str">
        <x:v>2026-07-21 13:40</x:v>
      </x:c>
      <x:c r="D5" s="30" t="str">
        <x:v>日内</x:v>
      </x:c>
      <x:c r="E5" s="30" t="str">
        <x:v>↓ 偏空</x:v>
      </x:c>
      <x:c r="F5" s="39" t="n">
        <x:v>7137.8</x:v>
      </x:c>
      <x:c r="G5" s="39" t="n">
        <x:v>7168</x:v>
      </x:c>
      <x:c r="H5" s="39" t="n">
        <x:v>7053.4</x:v>
      </x:c>
      <x:c r="I5" s="39"/>
      <x:c r="J5" s="39"/>
      <x:c r="K5" s="40" t="str">
        <x:f>IF(OR(F5="",I5=""),"",J5/F5)</x:f>
      </x:c>
      <x:c r="L5" s="40" t="n">
        <x:f>IF(F5="","",(G5-H5)/F5)</x:f>
        <x:v>0.016055367199977636</x:v>
      </x:c>
      <x:c r="M5" s="27" t="str">
        <x:v>冲高回落；原截图收盘价不完整</x:v>
      </x:c>
    </x:row>
    <x:row r="6" ht="24" customHeight="1">
      <x:c r="A6" s="31" t="n">
        <x:v>2</x:v>
      </x:c>
      <x:c r="B6" s="28" t="str">
        <x:v>2026-07-22 09:40</x:v>
      </x:c>
      <x:c r="C6" s="28" t="str">
        <x:v>2026-07-22 11:10</x:v>
      </x:c>
      <x:c r="D6" s="31" t="str">
        <x:v>日内</x:v>
      </x:c>
      <x:c r="E6" s="31" t="str">
        <x:v>↓ 空头</x:v>
      </x:c>
      <x:c r="F6" s="41" t="n">
        <x:v>7168.8</x:v>
      </x:c>
      <x:c r="G6" s="41" t="n">
        <x:v>7194.4</x:v>
      </x:c>
      <x:c r="H6" s="41" t="n">
        <x:v>7030.4</x:v>
      </x:c>
      <x:c r="I6" s="41"/>
      <x:c r="J6" s="41"/>
      <x:c r="K6" s="42" t="str">
        <x:f>IF(OR(F6="",I6=""),"",J6/F6)</x:f>
      </x:c>
      <x:c r="L6" s="42" t="n">
        <x:f>IF(F6="","",(G6-H6)/F6)</x:f>
        <x:v>0.02287691105903359</x:v>
      </x:c>
      <x:c r="M6" s="28" t="str">
        <x:v>快速下杀；原截图收盘价不完整</x:v>
      </x:c>
    </x:row>
    <x:row r="7" ht="24" customHeight="1">
      <x:c r="A7" s="31" t="n">
        <x:v>3</x:v>
      </x:c>
      <x:c r="B7" s="28" t="str">
        <x:v>2026-07-22 11:30</x:v>
      </x:c>
      <x:c r="C7" s="28" t="str">
        <x:v>2026-07-22 14:15</x:v>
      </x:c>
      <x:c r="D7" s="31" t="str">
        <x:v>日内</x:v>
      </x:c>
      <x:c r="E7" s="31" t="str">
        <x:v>↑ 反弹</x:v>
      </x:c>
      <x:c r="F7" s="41" t="n">
        <x:v>7142.8</x:v>
      </x:c>
      <x:c r="G7" s="41" t="n">
        <x:v>7160</x:v>
      </x:c>
      <x:c r="H7" s="41" t="n">
        <x:v>6986</x:v>
      </x:c>
      <x:c r="I7" s="41"/>
      <x:c r="J7" s="41"/>
      <x:c r="K7" s="42" t="str">
        <x:f>IF(OR(F7="",I7=""),"",J7/F7)</x:f>
      </x:c>
      <x:c r="L7" s="42" t="n">
        <x:f>IF(F7="","",(G7-H7)/F7)</x:f>
        <x:v>0.024360194881559053</x:v>
      </x:c>
      <x:c r="M7" s="28" t="str">
        <x:v>低位反抽；原截图收盘价不完整</x:v>
      </x:c>
    </x:row>
    <x:row r="8" ht="24" customHeight="1">
      <x:c r="A8" s="31" t="n">
        <x:v>4</x:v>
      </x:c>
      <x:c r="B8" s="28" t="str">
        <x:v>2026-07-23 09:40</x:v>
      </x:c>
      <x:c r="C8" s="28" t="str">
        <x:v>2026-07-23 11:15</x:v>
      </x:c>
      <x:c r="D8" s="31" t="str">
        <x:v>日内</x:v>
      </x:c>
      <x:c r="E8" s="31" t="str">
        <x:v>↓ 偏空</x:v>
      </x:c>
      <x:c r="F8" s="41" t="n">
        <x:v>7105</x:v>
      </x:c>
      <x:c r="G8" s="41" t="n">
        <x:v>7157.2</x:v>
      </x:c>
      <x:c r="H8" s="41" t="n">
        <x:v>7001</x:v>
      </x:c>
      <x:c r="I8" s="41"/>
      <x:c r="J8" s="41"/>
      <x:c r="K8" s="42" t="str">
        <x:f>IF(OR(F8="",I8=""),"",J8/F8)</x:f>
      </x:c>
      <x:c r="L8" s="42" t="n">
        <x:f>IF(F8="","",(G8-H8)/F8)</x:f>
        <x:v>0.021984517945109052</x:v>
      </x:c>
      <x:c r="M8" s="28" t="str">
        <x:v>冲高回落；原截图收盘价不完整</x:v>
      </x:c>
    </x:row>
    <x:row r="9" ht="24" customHeight="1">
      <x:c r="A9" s="31" t="n">
        <x:v>5</x:v>
      </x:c>
      <x:c r="B9" s="28" t="str">
        <x:v>2026-07-23 13:40</x:v>
      </x:c>
      <x:c r="C9" s="28" t="str">
        <x:v>2026-07-24 11:25</x:v>
      </x:c>
      <x:c r="D9" s="31" t="str">
        <x:v>跨日</x:v>
      </x:c>
      <x:c r="E9" s="31" t="str">
        <x:v>↓ 空头</x:v>
      </x:c>
      <x:c r="F9" s="41" t="n">
        <x:v>7127.4</x:v>
      </x:c>
      <x:c r="G9" s="41" t="n">
        <x:v>7149</x:v>
      </x:c>
      <x:c r="H9" s="41" t="n">
        <x:v>6866.2</x:v>
      </x:c>
      <x:c r="I9" s="41" t="n">
        <x:v>6883</x:v>
      </x:c>
      <x:c r="J9" s="41" t="n">
        <x:v>-244.4</x:v>
      </x:c>
      <x:c r="K9" s="42" t="n">
        <x:f>IF(OR(F9="",I9=""),"",J9/F9)</x:f>
        <x:v>-0.03429020400145916</x:v>
      </x:c>
      <x:c r="L9" s="42" t="n">
        <x:f>IF(F9="","",(G9-H9)/F9)</x:f>
        <x:v>0.03967786289530547</x:v>
      </x:c>
      <x:c r="M9" s="28" t="str">
        <x:v>持续下跌</x:v>
      </x:c>
    </x:row>
    <x:row r="10" ht="24" customHeight="1">
      <x:c r="A10" s="31" t="n">
        <x:v>6</x:v>
      </x:c>
      <x:c r="B10" s="28" t="str">
        <x:v>2026-07-24 13:15</x:v>
      </x:c>
      <x:c r="C10" s="28" t="str">
        <x:v>2026-07-24 14:05</x:v>
      </x:c>
      <x:c r="D10" s="31" t="str">
        <x:v>日内</x:v>
      </x:c>
      <x:c r="E10" s="31" t="str">
        <x:v>↓ 空头</x:v>
      </x:c>
      <x:c r="F10" s="41" t="n">
        <x:v>6983.8</x:v>
      </x:c>
      <x:c r="G10" s="41" t="n">
        <x:v>7023.6</x:v>
      </x:c>
      <x:c r="H10" s="41" t="n">
        <x:v>6872</x:v>
      </x:c>
      <x:c r="I10" s="41" t="n">
        <x:v>6977</x:v>
      </x:c>
      <x:c r="J10" s="41" t="n">
        <x:v>-6.8</x:v>
      </x:c>
      <x:c r="K10" s="42" t="n">
        <x:f>IF(OR(F10="",I10=""),"",J10/F10)</x:f>
        <x:v>-0.0009736819496549156</x:v>
      </x:c>
      <x:c r="L10" s="42" t="n">
        <x:f>IF(F10="","",(G10-H10)/F10)</x:f>
        <x:v>0.021707379936424347</x:v>
      </x:c>
      <x:c r="M10" s="28" t="str">
        <x:v>下探后回升</x:v>
      </x:c>
    </x:row>
    <x:row r="11" ht="24" customHeight="1">
      <x:c r="A11" s="31" t="n">
        <x:v>7</x:v>
      </x:c>
      <x:c r="B11" s="28" t="str">
        <x:v>2026-07-27 10:30</x:v>
      </x:c>
      <x:c r="C11" s="28" t="str">
        <x:v>2026-07-27 13:35</x:v>
      </x:c>
      <x:c r="D11" s="31" t="str">
        <x:v>日内</x:v>
      </x:c>
      <x:c r="E11" s="31" t="str">
        <x:v>↓ 空头</x:v>
      </x:c>
      <x:c r="F11" s="41" t="n">
        <x:v>7080.8</x:v>
      </x:c>
      <x:c r="G11" s="41" t="n">
        <x:v>7113.4</x:v>
      </x:c>
      <x:c r="H11" s="41" t="n">
        <x:v>6969</x:v>
      </x:c>
      <x:c r="I11" s="41" t="n">
        <x:v>6972.8</x:v>
      </x:c>
      <x:c r="J11" s="41" t="n">
        <x:v>-108</x:v>
      </x:c>
      <x:c r="K11" s="42" t="n">
        <x:f>IF(OR(F11="",I11=""),"",J11/F11)</x:f>
        <x:v>-0.01525251384024404</x:v>
      </x:c>
      <x:c r="L11" s="42" t="n">
        <x:f>IF(F11="","",(G11-H11)/F11)</x:f>
        <x:v>0.02039317591232624</x:v>
      </x:c>
      <x:c r="M11" s="28" t="str">
        <x:v>震荡下跌</x:v>
      </x:c>
    </x:row>
    <x:row r="12" ht="24" customHeight="1">
      <x:c r="A12" s="31" t="n">
        <x:v>8</x:v>
      </x:c>
      <x:c r="B12" s="28" t="str">
        <x:v>2026-07-27 14:50</x:v>
      </x:c>
      <x:c r="C12" s="28" t="str">
        <x:v>2026-07-28 14:20</x:v>
      </x:c>
      <x:c r="D12" s="31" t="str">
        <x:v>跨日</x:v>
      </x:c>
      <x:c r="E12" s="31" t="str">
        <x:v>↓ 空头</x:v>
      </x:c>
      <x:c r="F12" s="41" t="n">
        <x:v>7146</x:v>
      </x:c>
      <x:c r="G12" s="41" t="n">
        <x:v>7155</x:v>
      </x:c>
      <x:c r="H12" s="41" t="n">
        <x:v>6888.8</x:v>
      </x:c>
      <x:c r="I12" s="41" t="n">
        <x:v>6909.2</x:v>
      </x:c>
      <x:c r="J12" s="41" t="n">
        <x:v>-236.8</x:v>
      </x:c>
      <x:c r="K12" s="42" t="n">
        <x:f>IF(OR(F12="",I12=""),"",J12/F12)</x:f>
        <x:v>-0.033137419535404423</x:v>
      </x:c>
      <x:c r="L12" s="42" t="n">
        <x:f>IF(F12="","",(G12-H12)/F12)</x:f>
        <x:v>0.037251609291911535</x:v>
      </x:c>
      <x:c r="M12" s="28" t="str">
        <x:v>持续下跌</x:v>
      </x:c>
    </x:row>
    <x:row r="13" ht="24" customHeight="1">
      <x:c r="A13" s="31" t="n">
        <x:v>9</x:v>
      </x:c>
      <x:c r="B13" s="28" t="str">
        <x:v>2026-07-29 09:40</x:v>
      </x:c>
      <x:c r="C13" s="28" t="str">
        <x:v>2026-07-29 10:05</x:v>
      </x:c>
      <x:c r="D13" s="31" t="str">
        <x:v>日内</x:v>
      </x:c>
      <x:c r="E13" s="31" t="str">
        <x:v>↓ 空头</x:v>
      </x:c>
      <x:c r="F13" s="41" t="n">
        <x:v>6948.4</x:v>
      </x:c>
      <x:c r="G13" s="41" t="n">
        <x:v>6998.6</x:v>
      </x:c>
      <x:c r="H13" s="41" t="n">
        <x:v>6825.8</x:v>
      </x:c>
      <x:c r="I13" s="41" t="n">
        <x:v>6842.6</x:v>
      </x:c>
      <x:c r="J13" s="41" t="n">
        <x:v>-105.8</x:v>
      </x:c>
      <x:c r="K13" s="42" t="n">
        <x:f>IF(OR(F13="",I13=""),"",J13/F13)</x:f>
        <x:v>-0.015226526970237754</x:v>
      </x:c>
      <x:c r="L13" s="42" t="n">
        <x:f>IF(F13="","",(G13-H13)/F13)</x:f>
        <x:v>0.024869034597893067</x:v>
      </x:c>
      <x:c r="M13" s="28" t="str">
        <x:v>快速下杀</x:v>
      </x:c>
    </x:row>
    <x:row r="14" ht="24" customHeight="1">
      <x:c r="A14" s="31" t="n">
        <x:v>10</x:v>
      </x:c>
      <x:c r="B14" s="28" t="str">
        <x:v>2026-07-29 10:35</x:v>
      </x:c>
      <x:c r="C14" s="28" t="str">
        <x:v>2026-07-29 11:10</x:v>
      </x:c>
      <x:c r="D14" s="31" t="str">
        <x:v>日内</x:v>
      </x:c>
      <x:c r="E14" s="31" t="str">
        <x:v>↓ 空头</x:v>
      </x:c>
      <x:c r="F14" s="41" t="n">
        <x:v>6976.6</x:v>
      </x:c>
      <x:c r="G14" s="41" t="n">
        <x:v>7003.2</x:v>
      </x:c>
      <x:c r="H14" s="41" t="n">
        <x:v>6827.2</x:v>
      </x:c>
      <x:c r="I14" s="41" t="n">
        <x:v>6886</x:v>
      </x:c>
      <x:c r="J14" s="41" t="n">
        <x:v>-90.6</x:v>
      </x:c>
      <x:c r="K14" s="42" t="n">
        <x:f>IF(OR(F14="",I14=""),"",J14/F14)</x:f>
        <x:v>-0.01298626838287991</x:v>
      </x:c>
      <x:c r="L14" s="42" t="n">
        <x:f>IF(F14="","",(G14-H14)/F14)</x:f>
        <x:v>0.02522718802855259</x:v>
      </x:c>
      <x:c r="M14" s="28" t="str">
        <x:v>冲高回落</x:v>
      </x:c>
    </x:row>
    <x:row r="15" ht="24" customHeight="1">
      <x:c r="A15" s="31" t="n">
        <x:v>11</x:v>
      </x:c>
      <x:c r="B15" s="28" t="str">
        <x:v>2026-07-29 13:45</x:v>
      </x:c>
      <x:c r="C15" s="28" t="str">
        <x:v>2026-07-29 14:10</x:v>
      </x:c>
      <x:c r="D15" s="31" t="str">
        <x:v>日内</x:v>
      </x:c>
      <x:c r="E15" s="31" t="str">
        <x:v>↓ 空头</x:v>
      </x:c>
      <x:c r="F15" s="41" t="n">
        <x:v>7068</x:v>
      </x:c>
      <x:c r="G15" s="41" t="n">
        <x:v>7081</x:v>
      </x:c>
      <x:c r="H15" s="41" t="n">
        <x:v>6980</x:v>
      </x:c>
      <x:c r="I15" s="41" t="n">
        <x:v>6996.2</x:v>
      </x:c>
      <x:c r="J15" s="41" t="n">
        <x:v>-71.8</x:v>
      </x:c>
      <x:c r="K15" s="42" t="n">
        <x:f>IF(OR(F15="",I15=""),"",J15/F15)</x:f>
        <x:v>-0.010158460667798528</x:v>
      </x:c>
      <x:c r="L15" s="42" t="n">
        <x:f>IF(F15="","",(G15-H15)/F15)</x:f>
        <x:v>0.014289756649688738</x:v>
      </x:c>
      <x:c r="M15" s="28" t="str">
        <x:v>快速回落</x:v>
      </x:c>
    </x:row>
    <x:row r="16" ht="24" customHeight="1">
      <x:c r="A16" s="31" t="n">
        <x:v>12</x:v>
      </x:c>
      <x:c r="B16" s="28" t="str">
        <x:v>2026-07-30 09:35</x:v>
      </x:c>
      <x:c r="C16" s="28" t="str">
        <x:v>2026-07-30 13:20</x:v>
      </x:c>
      <x:c r="D16" s="31" t="str">
        <x:v>日内</x:v>
      </x:c>
      <x:c r="E16" s="31" t="str">
        <x:v>↓ 空头</x:v>
      </x:c>
      <x:c r="F16" s="41" t="n">
        <x:v>7047.2</x:v>
      </x:c>
      <x:c r="G16" s="41" t="n">
        <x:v>7086.8</x:v>
      </x:c>
      <x:c r="H16" s="41" t="n">
        <x:v>6757.6</x:v>
      </x:c>
      <x:c r="I16" s="41" t="n">
        <x:v>6784.2</x:v>
      </x:c>
      <x:c r="J16" s="41" t="n">
        <x:v>-263</x:v>
      </x:c>
      <x:c r="K16" s="42" t="n">
        <x:f>IF(OR(F16="",I16=""),"",J16/F16)</x:f>
        <x:v>-0.03731978658190487</x:v>
      </x:c>
      <x:c r="L16" s="42" t="n">
        <x:f>IF(F16="","",(G16-H16)/F16)</x:f>
        <x:v>0.04671358837552501</x:v>
      </x:c>
      <x:c r="M16" s="28" t="str">
        <x:v>本批最大单段跌点</x:v>
      </x:c>
    </x:row>
    <x:row r="17" ht="24" customHeight="1">
      <x:c r="A17" s="31" t="n">
        <x:v>13</x:v>
      </x:c>
      <x:c r="B17" s="28" t="str">
        <x:v>2026-07-30 14:25</x:v>
      </x:c>
      <x:c r="C17" s="28" t="str">
        <x:v>2026-07-30 15:00</x:v>
      </x:c>
      <x:c r="D17" s="31" t="str">
        <x:v>日内</x:v>
      </x:c>
      <x:c r="E17" s="31" t="str">
        <x:v>↓ 空头</x:v>
      </x:c>
      <x:c r="F17" s="41" t="n">
        <x:v>6908.8</x:v>
      </x:c>
      <x:c r="G17" s="41" t="n">
        <x:v>6949</x:v>
      </x:c>
      <x:c r="H17" s="41" t="n">
        <x:v>6839</x:v>
      </x:c>
      <x:c r="I17" s="41" t="n">
        <x:v>6845.2</x:v>
      </x:c>
      <x:c r="J17" s="41" t="n">
        <x:v>-63.6</x:v>
      </x:c>
      <x:c r="K17" s="42" t="n">
        <x:f>IF(OR(F17="",I17=""),"",J17/F17)</x:f>
        <x:v>-0.009205650764242705</x:v>
      </x:c>
      <x:c r="L17" s="42" t="n">
        <x:f>IF(F17="","",(G17-H17)/F17)</x:f>
        <x:v>0.015921723019916626</x:v>
      </x:c>
      <x:c r="M17" s="28" t="str">
        <x:v>尾盘回落</x:v>
      </x:c>
    </x:row>
    <x:row r="18" ht="24" customHeight="1">
      <x:c r="A18" s="31" t="n">
        <x:v>14</x:v>
      </x:c>
      <x:c r="B18" s="28" t="str">
        <x:v>2026-07-31 10:00</x:v>
      </x:c>
      <x:c r="C18" s="28" t="str">
        <x:v>2026-07-31 10:25</x:v>
      </x:c>
      <x:c r="D18" s="31" t="str">
        <x:v>日内</x:v>
      </x:c>
      <x:c r="E18" s="31" t="str">
        <x:v>↓ 空头</x:v>
      </x:c>
      <x:c r="F18" s="41" t="n">
        <x:v>7179.4</x:v>
      </x:c>
      <x:c r="G18" s="41" t="n">
        <x:v>7204.4</x:v>
      </x:c>
      <x:c r="H18" s="41" t="n">
        <x:v>7069.8</x:v>
      </x:c>
      <x:c r="I18" s="41" t="n">
        <x:v>7072</x:v>
      </x:c>
      <x:c r="J18" s="41" t="n">
        <x:v>-107.4</x:v>
      </x:c>
      <x:c r="K18" s="42" t="n">
        <x:f>IF(OR(F18="",I18=""),"",J18/F18)</x:f>
        <x:v>-0.014959467364960862</x:v>
      </x:c>
      <x:c r="L18" s="42" t="n">
        <x:f>IF(F18="","",(G18-H18)/F18)</x:f>
        <x:v>0.018748084798172474</x:v>
      </x:c>
      <x:c r="M18" s="28" t="str">
        <x:v>高位快速回落</x:v>
      </x:c>
    </x:row>
    <x:row r="19" ht="24" customHeight="1">
      <x:c r="A19" s="32" t="n">
        <x:v>15</x:v>
      </x:c>
      <x:c r="B19" s="29" t="str">
        <x:v>2026-07-31 13:25</x:v>
      </x:c>
      <x:c r="C19" s="29" t="str">
        <x:v>2026-08-03 09:50</x:v>
      </x:c>
      <x:c r="D19" s="32" t="str">
        <x:v>跨日</x:v>
      </x:c>
      <x:c r="E19" s="32" t="str">
        <x:v>↓ 空头</x:v>
      </x:c>
      <x:c r="F19" s="43" t="n">
        <x:v>7131.8</x:v>
      </x:c>
      <x:c r="G19" s="43" t="n">
        <x:v>7151</x:v>
      </x:c>
      <x:c r="H19" s="43" t="n">
        <x:v>6979</x:v>
      </x:c>
      <x:c r="I19" s="43" t="n">
        <x:v>7017</x:v>
      </x:c>
      <x:c r="J19" s="43" t="n">
        <x:v>-114.8</x:v>
      </x:c>
      <x:c r="K19" s="44" t="n">
        <x:f>IF(OR(F19="",I19=""),"",J19/F19)</x:f>
        <x:v>-0.01609691802910906</x:v>
      </x:c>
      <x:c r="L19" s="44" t="n">
        <x:f>IF(F19="","",(G19-H19)/F19)</x:f>
        <x:v>0.024117333632463052</x:v>
      </x:c>
      <x:c r="M19" s="29" t="str">
        <x:v>跨周回落</x:v>
      </x:c>
    </x:row>
    <x:row r="22">
      <x:c r="A22" s="47" t="str">
        <x:v>摘要</x:v>
      </x:c>
      <x:c r="B22" s="47"/>
      <x:c r="C22" s="47"/>
      <x:c r="E22" s="47" t="str">
        <x:v>数据说明</x:v>
      </x:c>
      <x:c r="F22" s="47"/>
      <x:c r="G22" s="47"/>
      <x:c r="H22" s="47"/>
      <x:c r="I22" s="47"/>
      <x:c r="J22" s="47"/>
      <x:c r="K22" s="47"/>
      <x:c r="L22" s="47"/>
      <x:c r="M22" s="47"/>
    </x:row>
    <x:row r="23" ht="22" customHeight="1">
      <x:c r="A23" s="52" t="str">
        <x:v>区间数量</x:v>
      </x:c>
      <x:c r="B23" s="52"/>
      <x:c r="C23" s="61" t="n">
        <x:f>COUNTA(A5:A19)</x:f>
        <x:v>15</x:v>
      </x:c>
      <x:c r="E23" s="66" t="str">
        <x:v>本表根据原会话中 15 张截图的已整理结果重建。前 4 段因原截图未完整显示收盘价，收盘、涨跌点和涨跌幅留空；其余数值保持原统计口径。最高点为 7204.4，最低点为 6757.6。</x:v>
      </x:c>
      <x:c r="F23" s="66"/>
      <x:c r="G23" s="66"/>
      <x:c r="H23" s="66"/>
      <x:c r="I23" s="66"/>
      <x:c r="J23" s="66"/>
      <x:c r="K23" s="66"/>
      <x:c r="L23" s="66"/>
      <x:c r="M23" s="66"/>
    </x:row>
    <x:row r="24" ht="22" customHeight="1">
      <x:c r="A24" s="53" t="str">
        <x:v>空头/偏空段</x:v>
      </x:c>
      <x:c r="B24" s="53"/>
      <x:c r="C24" s="62" t="n">
        <x:f>COUNTIF(E5:E19,"↓ 空头")+COUNTIF(E5:E19,"↓ 偏空")</x:f>
        <x:v>14</x:v>
      </x:c>
      <x:c r="E24" s="66"/>
      <x:c r="F24" s="66"/>
      <x:c r="G24" s="66"/>
      <x:c r="H24" s="66"/>
      <x:c r="I24" s="66"/>
      <x:c r="J24" s="66"/>
      <x:c r="K24" s="66"/>
      <x:c r="L24" s="66"/>
      <x:c r="M24" s="66"/>
    </x:row>
    <x:row r="25" ht="22" customHeight="1">
      <x:c r="A25" s="53" t="str">
        <x:v>反弹段</x:v>
      </x:c>
      <x:c r="B25" s="53"/>
      <x:c r="C25" s="62" t="n">
        <x:f>COUNTIF(E5:E19,"↑ 反弹")</x:f>
        <x:v>1</x:v>
      </x:c>
      <x:c r="E25" s="66"/>
      <x:c r="F25" s="66"/>
      <x:c r="G25" s="66"/>
      <x:c r="H25" s="66"/>
      <x:c r="I25" s="66"/>
      <x:c r="J25" s="66"/>
      <x:c r="K25" s="66"/>
      <x:c r="L25" s="66"/>
      <x:c r="M25" s="66"/>
    </x:row>
    <x:row r="26" ht="22" customHeight="1">
      <x:c r="A26" s="53" t="str">
        <x:v>最高点</x:v>
      </x:c>
      <x:c r="B26" s="53"/>
      <x:c r="C26" s="62" t="n">
        <x:f>MAX(G5:G19)</x:f>
        <x:v>7204.4</x:v>
      </x:c>
      <x:c r="E26" s="66"/>
      <x:c r="F26" s="66"/>
      <x:c r="G26" s="66"/>
      <x:c r="H26" s="66"/>
      <x:c r="I26" s="66"/>
      <x:c r="J26" s="66"/>
      <x:c r="K26" s="66"/>
      <x:c r="L26" s="66"/>
      <x:c r="M26" s="66"/>
    </x:row>
    <x:row r="27" ht="22" customHeight="1">
      <x:c r="A27" s="53" t="str">
        <x:v>最低点</x:v>
      </x:c>
      <x:c r="B27" s="53"/>
      <x:c r="C27" s="62" t="n">
        <x:f>MIN(H5:H19)</x:f>
        <x:v>6757.6</x:v>
      </x:c>
      <x:c r="E27" s="66"/>
      <x:c r="F27" s="66"/>
      <x:c r="G27" s="66"/>
      <x:c r="H27" s="66"/>
      <x:c r="I27" s="66"/>
      <x:c r="J27" s="66"/>
      <x:c r="K27" s="66"/>
      <x:c r="L27" s="66"/>
      <x:c r="M27" s="66"/>
    </x:row>
    <x:row r="28" ht="22" customHeight="1">
      <x:c r="A28" s="54" t="str">
        <x:v>最大单段跌点</x:v>
      </x:c>
      <x:c r="B28" s="54"/>
      <x:c r="C28" s="63" t="n">
        <x:f>MIN(J5:J19)</x:f>
        <x:v>-263</x:v>
      </x:c>
      <x:c r="E28" s="66"/>
      <x:c r="F28" s="66"/>
      <x:c r="G28" s="66"/>
      <x:c r="H28" s="66"/>
      <x:c r="I28" s="66"/>
      <x:c r="J28" s="66"/>
      <x:c r="K28" s="66"/>
      <x:c r="L28" s="66"/>
      <x:c r="M28" s="66"/>
    </x:row>
  </x:sheetData>
  <x:mergeCells>
    <x:mergeCell ref="A1:M1"/>
    <x:mergeCell ref="A2:M2"/>
    <x:mergeCell ref="A22:C22"/>
    <x:mergeCell ref="E22:M22"/>
    <x:mergeCell ref="E23:M28"/>
  </x:mergeCells>
  <x:conditionalFormatting sqref="E5:E19">
    <x:cfRule type="containsText" dxfId="0" priority="1" operator="containsText" text="反弹"/>
    <x:cfRule type="containsText" dxfId="1" priority="2" operator="containsText" text="空"/>
  </x:conditionalFormatting>
  <x:conditionalFormatting sqref="J5:J19">
    <x:cfRule type="cellIs" dxfId="2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ca999a5c3c41a4"/>
  </x:tableParts>
</x:worksheet>
</file>